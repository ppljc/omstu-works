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ony_\OneDrive\Документы\ВУЗ\Основы профессиональной деятельности\"/>
    </mc:Choice>
  </mc:AlternateContent>
  <xr:revisionPtr revIDLastSave="0" documentId="13_ncr:1_{D2F59FEF-927C-4C58-8E46-C553F1FC08E8}" xr6:coauthVersionLast="47" xr6:coauthVersionMax="47" xr10:uidLastSave="{00000000-0000-0000-0000-000000000000}"/>
  <bookViews>
    <workbookView xWindow="-98" yWindow="-98" windowWidth="24196" windowHeight="14476" activeTab="3" xr2:uid="{00000000-000D-0000-FFFF-FFFF00000000}"/>
  </bookViews>
  <sheets>
    <sheet name="Полусумматор" sheetId="1" r:id="rId1"/>
    <sheet name="Сумматор" sheetId="2" r:id="rId2"/>
    <sheet name="Многоразрядный сумматор" sheetId="3" r:id="rId3"/>
    <sheet name="Накапливающий сумматор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0" i="4" l="1"/>
  <c r="AE20" i="4" s="1"/>
  <c r="AD20" i="4" s="1"/>
  <c r="AC20" i="4" s="1"/>
  <c r="AB20" i="4" s="1"/>
  <c r="AA20" i="4" s="1"/>
  <c r="Z20" i="4" s="1"/>
  <c r="Y20" i="4" s="1"/>
  <c r="X20" i="4" s="1"/>
  <c r="W20" i="4" s="1"/>
  <c r="V20" i="4" s="1"/>
  <c r="U20" i="4" s="1"/>
  <c r="T20" i="4" s="1"/>
  <c r="S20" i="4" s="1"/>
  <c r="R20" i="4" s="1"/>
  <c r="Q20" i="4" s="1"/>
  <c r="P20" i="4" s="1"/>
  <c r="O20" i="4" s="1"/>
  <c r="N20" i="4" s="1"/>
  <c r="M20" i="4" s="1"/>
  <c r="L20" i="4" s="1"/>
  <c r="K20" i="4" s="1"/>
  <c r="J20" i="4" s="1"/>
  <c r="I20" i="4" s="1"/>
  <c r="H20" i="4" s="1"/>
  <c r="G20" i="4" s="1"/>
  <c r="F20" i="4" s="1"/>
  <c r="E20" i="4" s="1"/>
  <c r="D20" i="4" s="1"/>
  <c r="C20" i="4" s="1"/>
  <c r="B20" i="4" s="1"/>
  <c r="AG19" i="4"/>
  <c r="AG13" i="4" s="1"/>
  <c r="AF19" i="4" s="1"/>
  <c r="AF20" i="3"/>
  <c r="AE20" i="3" s="1"/>
  <c r="AD20" i="3" s="1"/>
  <c r="AC20" i="3" s="1"/>
  <c r="AB20" i="3" s="1"/>
  <c r="AA20" i="3" s="1"/>
  <c r="Z20" i="3" s="1"/>
  <c r="Y20" i="3" s="1"/>
  <c r="X20" i="3" s="1"/>
  <c r="W20" i="3" s="1"/>
  <c r="V20" i="3" s="1"/>
  <c r="U20" i="3" s="1"/>
  <c r="T20" i="3" s="1"/>
  <c r="S20" i="3" s="1"/>
  <c r="R20" i="3" s="1"/>
  <c r="Q20" i="3" s="1"/>
  <c r="P20" i="3" s="1"/>
  <c r="O20" i="3" s="1"/>
  <c r="N20" i="3" s="1"/>
  <c r="M20" i="3" s="1"/>
  <c r="L20" i="3" s="1"/>
  <c r="K20" i="3" s="1"/>
  <c r="J20" i="3" s="1"/>
  <c r="I20" i="3" s="1"/>
  <c r="H20" i="3" s="1"/>
  <c r="G20" i="3" s="1"/>
  <c r="F20" i="3" s="1"/>
  <c r="E20" i="3" s="1"/>
  <c r="D20" i="3" s="1"/>
  <c r="C20" i="3" s="1"/>
  <c r="B20" i="3" s="1"/>
  <c r="AG19" i="3"/>
  <c r="AG12" i="3" s="1"/>
  <c r="AG12" i="4" l="1"/>
  <c r="AL17" i="4"/>
  <c r="AL16" i="4"/>
  <c r="AF13" i="4"/>
  <c r="AE19" i="4" s="1"/>
  <c r="AF12" i="4"/>
  <c r="AL17" i="3"/>
  <c r="AL16" i="3"/>
  <c r="AG13" i="3"/>
  <c r="AF19" i="3" s="1"/>
  <c r="W6" i="2"/>
  <c r="W5" i="2"/>
  <c r="W6" i="1"/>
  <c r="W5" i="1"/>
  <c r="AE13" i="4" l="1"/>
  <c r="AD19" i="4" s="1"/>
  <c r="AE12" i="4"/>
  <c r="AL11" i="3"/>
  <c r="AF13" i="3"/>
  <c r="AE19" i="3" s="1"/>
  <c r="AF12" i="3"/>
  <c r="AD13" i="4" l="1"/>
  <c r="AC19" i="4" s="1"/>
  <c r="AD12" i="4"/>
  <c r="AE13" i="3"/>
  <c r="AD19" i="3" s="1"/>
  <c r="AE12" i="3"/>
  <c r="AC12" i="4" l="1"/>
  <c r="AC13" i="4"/>
  <c r="AB19" i="4" s="1"/>
  <c r="AD12" i="3"/>
  <c r="AD13" i="3"/>
  <c r="AC19" i="3" s="1"/>
  <c r="AB12" i="4" l="1"/>
  <c r="AB13" i="4"/>
  <c r="AA19" i="4" s="1"/>
  <c r="AC12" i="3"/>
  <c r="AC13" i="3"/>
  <c r="AB19" i="3" s="1"/>
  <c r="AA12" i="4" l="1"/>
  <c r="AA13" i="4"/>
  <c r="Z19" i="4" s="1"/>
  <c r="AB12" i="3"/>
  <c r="AB13" i="3"/>
  <c r="AA19" i="3" s="1"/>
  <c r="Z13" i="4" l="1"/>
  <c r="Y19" i="4" s="1"/>
  <c r="Z12" i="4"/>
  <c r="AA12" i="3"/>
  <c r="AA13" i="3"/>
  <c r="Z19" i="3" s="1"/>
  <c r="Y12" i="4" l="1"/>
  <c r="Y13" i="4"/>
  <c r="X19" i="4" s="1"/>
  <c r="Z13" i="3"/>
  <c r="Y19" i="3" s="1"/>
  <c r="Z12" i="3"/>
  <c r="X13" i="4" l="1"/>
  <c r="W19" i="4" s="1"/>
  <c r="X12" i="4"/>
  <c r="Y13" i="3"/>
  <c r="X19" i="3" s="1"/>
  <c r="Y12" i="3"/>
  <c r="W12" i="4" l="1"/>
  <c r="W5" i="4" s="1"/>
  <c r="W13" i="4"/>
  <c r="V19" i="4" s="1"/>
  <c r="X12" i="3"/>
  <c r="X13" i="3"/>
  <c r="W19" i="3" s="1"/>
  <c r="V12" i="4" l="1"/>
  <c r="V13" i="4"/>
  <c r="U19" i="4" s="1"/>
  <c r="W12" i="3"/>
  <c r="W5" i="3" s="1"/>
  <c r="W13" i="3"/>
  <c r="V19" i="3" s="1"/>
  <c r="U12" i="4" l="1"/>
  <c r="U13" i="4"/>
  <c r="T19" i="4" s="1"/>
  <c r="V12" i="3"/>
  <c r="V13" i="3"/>
  <c r="U19" i="3" s="1"/>
  <c r="T13" i="4" l="1"/>
  <c r="S19" i="4" s="1"/>
  <c r="T12" i="4"/>
  <c r="U12" i="3"/>
  <c r="U13" i="3"/>
  <c r="T19" i="3" s="1"/>
  <c r="S13" i="4" l="1"/>
  <c r="R19" i="4" s="1"/>
  <c r="S12" i="4"/>
  <c r="T13" i="3"/>
  <c r="S19" i="3" s="1"/>
  <c r="T12" i="3"/>
  <c r="R13" i="4" l="1"/>
  <c r="Q19" i="4" s="1"/>
  <c r="R12" i="4"/>
  <c r="S13" i="3"/>
  <c r="R19" i="3" s="1"/>
  <c r="S12" i="3"/>
  <c r="Q12" i="4" l="1"/>
  <c r="Q13" i="4"/>
  <c r="P19" i="4" s="1"/>
  <c r="R12" i="3"/>
  <c r="R13" i="3"/>
  <c r="Q19" i="3" s="1"/>
  <c r="P12" i="4" l="1"/>
  <c r="P13" i="4"/>
  <c r="O19" i="4" s="1"/>
  <c r="Q12" i="3"/>
  <c r="Q13" i="3"/>
  <c r="P19" i="3" s="1"/>
  <c r="O12" i="4" l="1"/>
  <c r="O13" i="4"/>
  <c r="N19" i="4" s="1"/>
  <c r="P12" i="3"/>
  <c r="P13" i="3"/>
  <c r="O19" i="3" s="1"/>
  <c r="N13" i="4" l="1"/>
  <c r="M19" i="4" s="1"/>
  <c r="N12" i="4"/>
  <c r="O12" i="3"/>
  <c r="O13" i="3"/>
  <c r="N19" i="3" s="1"/>
  <c r="M12" i="4" l="1"/>
  <c r="M13" i="4"/>
  <c r="L19" i="4" s="1"/>
  <c r="N13" i="3"/>
  <c r="M19" i="3" s="1"/>
  <c r="N12" i="3"/>
  <c r="L13" i="4" l="1"/>
  <c r="K19" i="4" s="1"/>
  <c r="L12" i="4"/>
  <c r="M13" i="3"/>
  <c r="L19" i="3" s="1"/>
  <c r="M12" i="3"/>
  <c r="K12" i="4" l="1"/>
  <c r="K13" i="4"/>
  <c r="J19" i="4" s="1"/>
  <c r="L12" i="3"/>
  <c r="L13" i="3"/>
  <c r="K19" i="3" s="1"/>
  <c r="J12" i="4" l="1"/>
  <c r="J13" i="4"/>
  <c r="I19" i="4" s="1"/>
  <c r="K12" i="3"/>
  <c r="K13" i="3"/>
  <c r="J19" i="3" s="1"/>
  <c r="I12" i="4" l="1"/>
  <c r="I13" i="4"/>
  <c r="H19" i="4" s="1"/>
  <c r="J12" i="3"/>
  <c r="J13" i="3"/>
  <c r="I19" i="3" s="1"/>
  <c r="H13" i="4" l="1"/>
  <c r="G19" i="4" s="1"/>
  <c r="H12" i="4"/>
  <c r="I12" i="3"/>
  <c r="I13" i="3"/>
  <c r="H19" i="3" s="1"/>
  <c r="G13" i="4" l="1"/>
  <c r="F19" i="4" s="1"/>
  <c r="G12" i="4"/>
  <c r="H13" i="3"/>
  <c r="G19" i="3" s="1"/>
  <c r="H12" i="3"/>
  <c r="F13" i="4" l="1"/>
  <c r="E19" i="4" s="1"/>
  <c r="F12" i="4"/>
  <c r="G13" i="3"/>
  <c r="F19" i="3" s="1"/>
  <c r="G12" i="3"/>
  <c r="E12" i="4" l="1"/>
  <c r="E13" i="4"/>
  <c r="D19" i="4" s="1"/>
  <c r="F12" i="3"/>
  <c r="F13" i="3"/>
  <c r="E19" i="3" s="1"/>
  <c r="D12" i="4" l="1"/>
  <c r="D13" i="4"/>
  <c r="C19" i="4" s="1"/>
  <c r="E12" i="3"/>
  <c r="E13" i="3"/>
  <c r="D19" i="3" s="1"/>
  <c r="C12" i="4" l="1"/>
  <c r="C13" i="4"/>
  <c r="B19" i="4" s="1"/>
  <c r="D12" i="3"/>
  <c r="D13" i="3"/>
  <c r="C19" i="3" s="1"/>
  <c r="B13" i="4" l="1"/>
  <c r="B11" i="4" s="1"/>
  <c r="B12" i="4"/>
  <c r="AL12" i="4" s="1"/>
  <c r="C12" i="3"/>
  <c r="C13" i="3"/>
  <c r="B19" i="3" s="1"/>
  <c r="AL12" i="3" l="1"/>
  <c r="B13" i="3"/>
  <c r="B11" i="3" s="1"/>
</calcChain>
</file>

<file path=xl/sharedStrings.xml><?xml version="1.0" encoding="utf-8"?>
<sst xmlns="http://schemas.openxmlformats.org/spreadsheetml/2006/main" count="65" uniqueCount="18">
  <si>
    <t>bi</t>
  </si>
  <si>
    <t>ai</t>
  </si>
  <si>
    <t>Pi</t>
  </si>
  <si>
    <t>Si</t>
  </si>
  <si>
    <t>Pi-1</t>
  </si>
  <si>
    <t>Pi+1</t>
  </si>
  <si>
    <t>Si+1</t>
  </si>
  <si>
    <t>Si-1</t>
  </si>
  <si>
    <t>Pi-2</t>
  </si>
  <si>
    <t>ai+1</t>
  </si>
  <si>
    <t>bi+1</t>
  </si>
  <si>
    <t>ai-1</t>
  </si>
  <si>
    <t>bi-1</t>
  </si>
  <si>
    <t>Проверка</t>
  </si>
  <si>
    <t>ctrl+z - сброс</t>
  </si>
  <si>
    <t>ctrl+s - добавить а в b</t>
  </si>
  <si>
    <t>Без предыдущего переноса</t>
  </si>
  <si>
    <t>С предыдущим переносом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</si>
</sst>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0" xfId="0" applyAlignment="1">
      <alignment horizontal="center"/>
    </xf>
    <xf numFmtId="0" fontId="1" fillId="0" borderId="0" xfId="0" applyFont="1"/>
    <xf numFmtId="0" fontId="0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0" fillId="3" borderId="4" xfId="0" applyFont="1" applyFill="1" applyBorder="1" applyAlignment="1">
      <alignment horizontal="right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2" fillId="0" borderId="0" xfId="0" applyFont="1"/>
    <xf numFmtId="0" fontId="3" fillId="0" borderId="0" xfId="0" applyFont="1" applyAlignment="1">
      <alignment horizontal="right"/>
    </xf>
  </cellXfs>
  <cellStyles count="1"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9525</xdr:rowOff>
    </xdr:from>
    <xdr:to>
      <xdr:col>12</xdr:col>
      <xdr:colOff>9525</xdr:colOff>
      <xdr:row>7</xdr:row>
      <xdr:rowOff>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3550" y="1000125"/>
          <a:ext cx="1247775" cy="733425"/>
        </a:xfrm>
        <a:prstGeom prst="rect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0</xdr:colOff>
      <xdr:row>2</xdr:row>
      <xdr:rowOff>57150</xdr:rowOff>
    </xdr:from>
    <xdr:to>
      <xdr:col>8</xdr:col>
      <xdr:colOff>9525</xdr:colOff>
      <xdr:row>4</xdr:row>
      <xdr:rowOff>19050</xdr:rowOff>
    </xdr:to>
    <xdr:cxnSp macro="">
      <xdr:nvCxnSpPr>
        <xdr:cNvPr id="4" name="Прямая со стрелко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 flipV="1">
          <a:off x="1981200" y="552450"/>
          <a:ext cx="9525" cy="457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</xdr:row>
      <xdr:rowOff>9525</xdr:rowOff>
    </xdr:from>
    <xdr:to>
      <xdr:col>11</xdr:col>
      <xdr:colOff>9525</xdr:colOff>
      <xdr:row>4</xdr:row>
      <xdr:rowOff>28575</xdr:rowOff>
    </xdr:to>
    <xdr:cxnSp macro="">
      <xdr:nvCxnSpPr>
        <xdr:cNvPr id="6" name="Прямая со стрелко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 flipV="1">
          <a:off x="2724150" y="257175"/>
          <a:ext cx="9525" cy="762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257175</xdr:colOff>
      <xdr:row>7</xdr:row>
      <xdr:rowOff>9525</xdr:rowOff>
    </xdr:from>
    <xdr:to>
      <xdr:col>11</xdr:col>
      <xdr:colOff>0</xdr:colOff>
      <xdr:row>9</xdr:row>
      <xdr:rowOff>0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V="1">
          <a:off x="2924175" y="1743075"/>
          <a:ext cx="9525" cy="485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233363</xdr:colOff>
      <xdr:row>7</xdr:row>
      <xdr:rowOff>9525</xdr:rowOff>
    </xdr:from>
    <xdr:to>
      <xdr:col>7</xdr:col>
      <xdr:colOff>238125</xdr:colOff>
      <xdr:row>9</xdr:row>
      <xdr:rowOff>123825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V="1">
          <a:off x="2100263" y="1743075"/>
          <a:ext cx="4762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9525</xdr:rowOff>
    </xdr:from>
    <xdr:to>
      <xdr:col>12</xdr:col>
      <xdr:colOff>9525</xdr:colOff>
      <xdr:row>7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33550" y="1000125"/>
          <a:ext cx="1247775" cy="733425"/>
        </a:xfrm>
        <a:prstGeom prst="rect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0</xdr:colOff>
      <xdr:row>1</xdr:row>
      <xdr:rowOff>147638</xdr:rowOff>
    </xdr:from>
    <xdr:to>
      <xdr:col>8</xdr:col>
      <xdr:colOff>9525</xdr:colOff>
      <xdr:row>4</xdr:row>
      <xdr:rowOff>19050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 flipH="1" flipV="1">
          <a:off x="2133600" y="395288"/>
          <a:ext cx="9525" cy="6143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1</xdr:row>
      <xdr:rowOff>57150</xdr:rowOff>
    </xdr:from>
    <xdr:to>
      <xdr:col>11</xdr:col>
      <xdr:colOff>9525</xdr:colOff>
      <xdr:row>4</xdr:row>
      <xdr:rowOff>28575</xdr:rowOff>
    </xdr:to>
    <xdr:cxnSp macro="">
      <xdr:nvCxnSpPr>
        <xdr:cNvPr id="9" name="Прямая со стрелкой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2943225" y="304800"/>
          <a:ext cx="0" cy="714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7</xdr:row>
      <xdr:rowOff>9525</xdr:rowOff>
    </xdr:from>
    <xdr:to>
      <xdr:col>11</xdr:col>
      <xdr:colOff>4763</xdr:colOff>
      <xdr:row>9</xdr:row>
      <xdr:rowOff>90488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 flipH="1" flipV="1">
          <a:off x="2933700" y="1743075"/>
          <a:ext cx="4763" cy="5762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238125</xdr:colOff>
      <xdr:row>7</xdr:row>
      <xdr:rowOff>9525</xdr:rowOff>
    </xdr:from>
    <xdr:to>
      <xdr:col>7</xdr:col>
      <xdr:colOff>238125</xdr:colOff>
      <xdr:row>9</xdr:row>
      <xdr:rowOff>119063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V="1">
          <a:off x="2105025" y="1743075"/>
          <a:ext cx="0" cy="60483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5</xdr:row>
      <xdr:rowOff>125649</xdr:rowOff>
    </xdr:from>
    <xdr:to>
      <xdr:col>13</xdr:col>
      <xdr:colOff>243191</xdr:colOff>
      <xdr:row>5</xdr:row>
      <xdr:rowOff>128386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>
          <a:endCxn id="7" idx="3"/>
        </xdr:cNvCxnSpPr>
      </xdr:nvCxnSpPr>
      <xdr:spPr>
        <a:xfrm flipH="1">
          <a:off x="2976461" y="1361872"/>
          <a:ext cx="480911" cy="273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9</xdr:col>
      <xdr:colOff>19050</xdr:colOff>
      <xdr:row>6</xdr:row>
      <xdr:rowOff>0</xdr:rowOff>
    </xdr:to>
    <xdr:sp macro="" textlink="">
      <xdr:nvSpPr>
        <xdr:cNvPr id="27" name="Прямоугольник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1257300" y="742950"/>
          <a:ext cx="1590675" cy="7429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accent1"/>
            </a:solidFill>
          </a:endParaRPr>
        </a:p>
      </xdr:txBody>
    </xdr:sp>
    <xdr:clientData/>
  </xdr:twoCellAnchor>
  <xdr:twoCellAnchor>
    <xdr:from>
      <xdr:col>5</xdr:col>
      <xdr:colOff>0</xdr:colOff>
      <xdr:row>0</xdr:row>
      <xdr:rowOff>228600</xdr:rowOff>
    </xdr:from>
    <xdr:to>
      <xdr:col>5</xdr:col>
      <xdr:colOff>9525</xdr:colOff>
      <xdr:row>3</xdr:row>
      <xdr:rowOff>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 flipH="1" flipV="1">
          <a:off x="1571625" y="228600"/>
          <a:ext cx="9525" cy="514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0</xdr:row>
      <xdr:rowOff>123825</xdr:rowOff>
    </xdr:from>
    <xdr:to>
      <xdr:col>8</xdr:col>
      <xdr:colOff>9525</xdr:colOff>
      <xdr:row>3</xdr:row>
      <xdr:rowOff>9525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H="1" flipV="1">
          <a:off x="2514600" y="123825"/>
          <a:ext cx="9525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9525</xdr:colOff>
      <xdr:row>8</xdr:row>
      <xdr:rowOff>19050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 flipV="1">
          <a:off x="2514600" y="1485900"/>
          <a:ext cx="9525" cy="514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</xdr:row>
      <xdr:rowOff>9525</xdr:rowOff>
    </xdr:from>
    <xdr:to>
      <xdr:col>5</xdr:col>
      <xdr:colOff>0</xdr:colOff>
      <xdr:row>9</xdr:row>
      <xdr:rowOff>9525</xdr:rowOff>
    </xdr:to>
    <xdr:cxnSp macro="">
      <xdr:nvCxnSpPr>
        <xdr:cNvPr id="31" name="Прямая со стрелкой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 flipV="1">
          <a:off x="1571625" y="1495425"/>
          <a:ext cx="0" cy="7429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19051</xdr:colOff>
      <xdr:row>4</xdr:row>
      <xdr:rowOff>123825</xdr:rowOff>
    </xdr:from>
    <xdr:to>
      <xdr:col>11</xdr:col>
      <xdr:colOff>0</xdr:colOff>
      <xdr:row>4</xdr:row>
      <xdr:rowOff>123825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 flipH="1">
          <a:off x="2847976" y="1114425"/>
          <a:ext cx="60959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3</xdr:row>
      <xdr:rowOff>0</xdr:rowOff>
    </xdr:from>
    <xdr:to>
      <xdr:col>17</xdr:col>
      <xdr:colOff>19050</xdr:colOff>
      <xdr:row>6</xdr:row>
      <xdr:rowOff>0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3771900" y="742950"/>
          <a:ext cx="1590675" cy="7429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0</xdr:colOff>
      <xdr:row>0</xdr:row>
      <xdr:rowOff>228600</xdr:rowOff>
    </xdr:from>
    <xdr:to>
      <xdr:col>13</xdr:col>
      <xdr:colOff>9525</xdr:colOff>
      <xdr:row>3</xdr:row>
      <xdr:rowOff>0</xdr:rowOff>
    </xdr:to>
    <xdr:cxnSp macro="">
      <xdr:nvCxnSpPr>
        <xdr:cNvPr id="34" name="Прямая со стрелкой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4086225" y="228600"/>
          <a:ext cx="9525" cy="514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0</xdr:row>
      <xdr:rowOff>123825</xdr:rowOff>
    </xdr:from>
    <xdr:to>
      <xdr:col>16</xdr:col>
      <xdr:colOff>9525</xdr:colOff>
      <xdr:row>3</xdr:row>
      <xdr:rowOff>9525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 flipV="1">
          <a:off x="5029200" y="123825"/>
          <a:ext cx="9525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6</xdr:row>
      <xdr:rowOff>0</xdr:rowOff>
    </xdr:from>
    <xdr:to>
      <xdr:col>16</xdr:col>
      <xdr:colOff>9525</xdr:colOff>
      <xdr:row>8</xdr:row>
      <xdr:rowOff>19050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 flipH="1" flipV="1">
          <a:off x="5029200" y="1485900"/>
          <a:ext cx="9525" cy="514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6</xdr:row>
      <xdr:rowOff>9525</xdr:rowOff>
    </xdr:from>
    <xdr:to>
      <xdr:col>13</xdr:col>
      <xdr:colOff>0</xdr:colOff>
      <xdr:row>9</xdr:row>
      <xdr:rowOff>9525</xdr:rowOff>
    </xdr:to>
    <xdr:cxnSp macro="">
      <xdr:nvCxnSpPr>
        <xdr:cNvPr id="37" name="Прямая со стрелкой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/>
      </xdr:nvCxnSpPr>
      <xdr:spPr>
        <a:xfrm flipV="1">
          <a:off x="4086225" y="1495425"/>
          <a:ext cx="0" cy="7429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19051</xdr:colOff>
      <xdr:row>4</xdr:row>
      <xdr:rowOff>133350</xdr:rowOff>
    </xdr:from>
    <xdr:to>
      <xdr:col>19</xdr:col>
      <xdr:colOff>0</xdr:colOff>
      <xdr:row>4</xdr:row>
      <xdr:rowOff>133350</xdr:rowOff>
    </xdr:to>
    <xdr:cxnSp macro="">
      <xdr:nvCxnSpPr>
        <xdr:cNvPr id="38" name="Прямая со стрелкой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 flipH="1">
          <a:off x="5362576" y="1123950"/>
          <a:ext cx="60959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28575</xdr:colOff>
      <xdr:row>4</xdr:row>
      <xdr:rowOff>133350</xdr:rowOff>
    </xdr:from>
    <xdr:to>
      <xdr:col>3</xdr:col>
      <xdr:colOff>9524</xdr:colOff>
      <xdr:row>4</xdr:row>
      <xdr:rowOff>133350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 flipH="1">
          <a:off x="342900" y="1123950"/>
          <a:ext cx="60959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</xdr:row>
      <xdr:rowOff>0</xdr:rowOff>
    </xdr:from>
    <xdr:to>
      <xdr:col>3</xdr:col>
      <xdr:colOff>0</xdr:colOff>
      <xdr:row>4</xdr:row>
      <xdr:rowOff>133350</xdr:rowOff>
    </xdr:to>
    <xdr:cxnSp macro="">
      <xdr:nvCxnSpPr>
        <xdr:cNvPr id="40" name="Прямая со стрелкой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942975" y="247650"/>
          <a:ext cx="0" cy="8763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0</xdr:row>
      <xdr:rowOff>238125</xdr:rowOff>
    </xdr:from>
    <xdr:to>
      <xdr:col>11</xdr:col>
      <xdr:colOff>0</xdr:colOff>
      <xdr:row>4</xdr:row>
      <xdr:rowOff>123825</xdr:rowOff>
    </xdr:to>
    <xdr:cxnSp macro="">
      <xdr:nvCxnSpPr>
        <xdr:cNvPr id="41" name="Прямая со стрелкой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>
          <a:off x="3457575" y="238125"/>
          <a:ext cx="0" cy="8763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0</xdr:row>
      <xdr:rowOff>238125</xdr:rowOff>
    </xdr:from>
    <xdr:to>
      <xdr:col>13</xdr:col>
      <xdr:colOff>19050</xdr:colOff>
      <xdr:row>1</xdr:row>
      <xdr:rowOff>0</xdr:rowOff>
    </xdr:to>
    <xdr:cxnSp macro="">
      <xdr:nvCxnSpPr>
        <xdr:cNvPr id="42" name="Прямая со стрелкой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 flipH="1">
          <a:off x="3467100" y="238125"/>
          <a:ext cx="63817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</xdr:row>
      <xdr:rowOff>0</xdr:rowOff>
    </xdr:from>
    <xdr:to>
      <xdr:col>25</xdr:col>
      <xdr:colOff>19050</xdr:colOff>
      <xdr:row>6</xdr:row>
      <xdr:rowOff>0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6286500" y="742950"/>
          <a:ext cx="1590675" cy="7429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0</xdr:colOff>
      <xdr:row>0</xdr:row>
      <xdr:rowOff>228600</xdr:rowOff>
    </xdr:from>
    <xdr:to>
      <xdr:col>21</xdr:col>
      <xdr:colOff>9525</xdr:colOff>
      <xdr:row>3</xdr:row>
      <xdr:rowOff>0</xdr:rowOff>
    </xdr:to>
    <xdr:cxnSp macro="">
      <xdr:nvCxnSpPr>
        <xdr:cNvPr id="44" name="Прямая со стрелкой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 flipH="1" flipV="1">
          <a:off x="6600825" y="228600"/>
          <a:ext cx="9525" cy="514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0</xdr:row>
      <xdr:rowOff>123825</xdr:rowOff>
    </xdr:from>
    <xdr:to>
      <xdr:col>24</xdr:col>
      <xdr:colOff>9525</xdr:colOff>
      <xdr:row>3</xdr:row>
      <xdr:rowOff>9525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 flipH="1" flipV="1">
          <a:off x="7543800" y="123825"/>
          <a:ext cx="9525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6</xdr:row>
      <xdr:rowOff>0</xdr:rowOff>
    </xdr:from>
    <xdr:to>
      <xdr:col>24</xdr:col>
      <xdr:colOff>9525</xdr:colOff>
      <xdr:row>8</xdr:row>
      <xdr:rowOff>19050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 flipH="1" flipV="1">
          <a:off x="7543800" y="1485900"/>
          <a:ext cx="9525" cy="514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6</xdr:row>
      <xdr:rowOff>9525</xdr:rowOff>
    </xdr:from>
    <xdr:to>
      <xdr:col>21</xdr:col>
      <xdr:colOff>0</xdr:colOff>
      <xdr:row>9</xdr:row>
      <xdr:rowOff>9525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6600825" y="1495425"/>
          <a:ext cx="0" cy="7429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19051</xdr:colOff>
      <xdr:row>4</xdr:row>
      <xdr:rowOff>123825</xdr:rowOff>
    </xdr:from>
    <xdr:to>
      <xdr:col>27</xdr:col>
      <xdr:colOff>0</xdr:colOff>
      <xdr:row>4</xdr:row>
      <xdr:rowOff>123825</xdr:rowOff>
    </xdr:to>
    <xdr:cxnSp macro="">
      <xdr:nvCxnSpPr>
        <xdr:cNvPr id="48" name="Прямая со стрелкой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 flipH="1">
          <a:off x="7877176" y="1114425"/>
          <a:ext cx="60959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28575</xdr:colOff>
      <xdr:row>4</xdr:row>
      <xdr:rowOff>133350</xdr:rowOff>
    </xdr:from>
    <xdr:to>
      <xdr:col>19</xdr:col>
      <xdr:colOff>9524</xdr:colOff>
      <xdr:row>4</xdr:row>
      <xdr:rowOff>133350</xdr:rowOff>
    </xdr:to>
    <xdr:cxnSp macro="">
      <xdr:nvCxnSpPr>
        <xdr:cNvPr id="49" name="Прямая со стрелкой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>
          <a:off x="5372100" y="1123950"/>
          <a:ext cx="60959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0</xdr:colOff>
      <xdr:row>4</xdr:row>
      <xdr:rowOff>133350</xdr:rowOff>
    </xdr:to>
    <xdr:cxnSp macro="">
      <xdr:nvCxnSpPr>
        <xdr:cNvPr id="50" name="Прямая со стрелкой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5972175" y="247650"/>
          <a:ext cx="0" cy="8763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304800</xdr:colOff>
      <xdr:row>1</xdr:row>
      <xdr:rowOff>9525</xdr:rowOff>
    </xdr:from>
    <xdr:to>
      <xdr:col>21</xdr:col>
      <xdr:colOff>0</xdr:colOff>
      <xdr:row>1</xdr:row>
      <xdr:rowOff>19050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 flipH="1">
          <a:off x="5962650" y="257175"/>
          <a:ext cx="63817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6569</xdr:colOff>
      <xdr:row>16</xdr:row>
      <xdr:rowOff>137949</xdr:rowOff>
    </xdr:from>
    <xdr:to>
      <xdr:col>37</xdr:col>
      <xdr:colOff>0</xdr:colOff>
      <xdr:row>16</xdr:row>
      <xdr:rowOff>137949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>
          <a:off x="9978259" y="4236983"/>
          <a:ext cx="120212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13138</xdr:colOff>
      <xdr:row>15</xdr:row>
      <xdr:rowOff>124810</xdr:rowOff>
    </xdr:from>
    <xdr:to>
      <xdr:col>37</xdr:col>
      <xdr:colOff>6569</xdr:colOff>
      <xdr:row>15</xdr:row>
      <xdr:rowOff>124810</xdr:rowOff>
    </xdr:to>
    <xdr:cxnSp macro="">
      <xdr:nvCxnSpPr>
        <xdr:cNvPr id="56" name="Прямая со стрелкой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>
          <a:off x="9984828" y="3967655"/>
          <a:ext cx="120212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13138</xdr:colOff>
      <xdr:row>11</xdr:row>
      <xdr:rowOff>118242</xdr:rowOff>
    </xdr:from>
    <xdr:to>
      <xdr:col>37</xdr:col>
      <xdr:colOff>6569</xdr:colOff>
      <xdr:row>11</xdr:row>
      <xdr:rowOff>118242</xdr:rowOff>
    </xdr:to>
    <xdr:cxnSp macro="">
      <xdr:nvCxnSpPr>
        <xdr:cNvPr id="57" name="Прямая со стрелкой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>
          <a:off x="9984828" y="2936328"/>
          <a:ext cx="120212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9</xdr:col>
      <xdr:colOff>19050</xdr:colOff>
      <xdr:row>6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219200" y="771525"/>
          <a:ext cx="1543050" cy="7715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0</xdr:colOff>
      <xdr:row>0</xdr:row>
      <xdr:rowOff>228600</xdr:rowOff>
    </xdr:from>
    <xdr:to>
      <xdr:col>5</xdr:col>
      <xdr:colOff>9525</xdr:colOff>
      <xdr:row>3</xdr:row>
      <xdr:rowOff>0</xdr:rowOff>
    </xdr:to>
    <xdr:cxnSp macro="">
      <xdr:nvCxnSpPr>
        <xdr:cNvPr id="31" name="Прямая со стрелкой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 flipH="1" flipV="1">
          <a:off x="1524000" y="228600"/>
          <a:ext cx="9525" cy="5429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0</xdr:row>
      <xdr:rowOff>123825</xdr:rowOff>
    </xdr:from>
    <xdr:to>
      <xdr:col>8</xdr:col>
      <xdr:colOff>9525</xdr:colOff>
      <xdr:row>3</xdr:row>
      <xdr:rowOff>9525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 flipH="1" flipV="1">
          <a:off x="2438400" y="123825"/>
          <a:ext cx="9525" cy="6572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9525</xdr:colOff>
      <xdr:row>8</xdr:row>
      <xdr:rowOff>19050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 flipH="1" flipV="1">
          <a:off x="2438400" y="1543050"/>
          <a:ext cx="9525" cy="5334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</xdr:row>
      <xdr:rowOff>9525</xdr:rowOff>
    </xdr:from>
    <xdr:to>
      <xdr:col>5</xdr:col>
      <xdr:colOff>0</xdr:colOff>
      <xdr:row>9</xdr:row>
      <xdr:rowOff>9525</xdr:rowOff>
    </xdr:to>
    <xdr:cxnSp macro="">
      <xdr:nvCxnSpPr>
        <xdr:cNvPr id="34" name="Прямая со стрелкой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/>
      </xdr:nvCxnSpPr>
      <xdr:spPr>
        <a:xfrm flipV="1">
          <a:off x="1524000" y="1552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19051</xdr:colOff>
      <xdr:row>4</xdr:row>
      <xdr:rowOff>123825</xdr:rowOff>
    </xdr:from>
    <xdr:to>
      <xdr:col>11</xdr:col>
      <xdr:colOff>0</xdr:colOff>
      <xdr:row>4</xdr:row>
      <xdr:rowOff>123825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2762251" y="1152525"/>
          <a:ext cx="59054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3</xdr:row>
      <xdr:rowOff>0</xdr:rowOff>
    </xdr:from>
    <xdr:to>
      <xdr:col>17</xdr:col>
      <xdr:colOff>19050</xdr:colOff>
      <xdr:row>6</xdr:row>
      <xdr:rowOff>0</xdr:rowOff>
    </xdr:to>
    <xdr:sp macro="" textlink="">
      <xdr:nvSpPr>
        <xdr:cNvPr id="36" name="Прямоугольник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3657600" y="771525"/>
          <a:ext cx="1543050" cy="7715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0</xdr:colOff>
      <xdr:row>0</xdr:row>
      <xdr:rowOff>228600</xdr:rowOff>
    </xdr:from>
    <xdr:to>
      <xdr:col>13</xdr:col>
      <xdr:colOff>9525</xdr:colOff>
      <xdr:row>3</xdr:row>
      <xdr:rowOff>0</xdr:rowOff>
    </xdr:to>
    <xdr:cxnSp macro="">
      <xdr:nvCxnSpPr>
        <xdr:cNvPr id="37" name="Прямая со стрелкой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CxnSpPr/>
      </xdr:nvCxnSpPr>
      <xdr:spPr>
        <a:xfrm flipH="1" flipV="1">
          <a:off x="3962400" y="228600"/>
          <a:ext cx="9525" cy="5429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0</xdr:row>
      <xdr:rowOff>123825</xdr:rowOff>
    </xdr:from>
    <xdr:to>
      <xdr:col>16</xdr:col>
      <xdr:colOff>9525</xdr:colOff>
      <xdr:row>3</xdr:row>
      <xdr:rowOff>9525</xdr:rowOff>
    </xdr:to>
    <xdr:cxnSp macro="">
      <xdr:nvCxnSpPr>
        <xdr:cNvPr id="38" name="Прямая со стрелкой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 flipH="1" flipV="1">
          <a:off x="4876800" y="123825"/>
          <a:ext cx="9525" cy="6572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6</xdr:row>
      <xdr:rowOff>0</xdr:rowOff>
    </xdr:from>
    <xdr:to>
      <xdr:col>16</xdr:col>
      <xdr:colOff>9525</xdr:colOff>
      <xdr:row>8</xdr:row>
      <xdr:rowOff>19050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 flipH="1" flipV="1">
          <a:off x="4876800" y="1543050"/>
          <a:ext cx="9525" cy="5334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6</xdr:row>
      <xdr:rowOff>9525</xdr:rowOff>
    </xdr:from>
    <xdr:to>
      <xdr:col>13</xdr:col>
      <xdr:colOff>0</xdr:colOff>
      <xdr:row>9</xdr:row>
      <xdr:rowOff>9525</xdr:rowOff>
    </xdr:to>
    <xdr:cxnSp macro="">
      <xdr:nvCxnSpPr>
        <xdr:cNvPr id="40" name="Прямая со стрелкой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 flipV="1">
          <a:off x="3962400" y="1552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19051</xdr:colOff>
      <xdr:row>4</xdr:row>
      <xdr:rowOff>133350</xdr:rowOff>
    </xdr:from>
    <xdr:to>
      <xdr:col>19</xdr:col>
      <xdr:colOff>0</xdr:colOff>
      <xdr:row>4</xdr:row>
      <xdr:rowOff>133350</xdr:rowOff>
    </xdr:to>
    <xdr:cxnSp macro="">
      <xdr:nvCxnSpPr>
        <xdr:cNvPr id="41" name="Прямая со стрелкой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CxnSpPr/>
      </xdr:nvCxnSpPr>
      <xdr:spPr>
        <a:xfrm flipH="1">
          <a:off x="5200651" y="1162050"/>
          <a:ext cx="59054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28575</xdr:colOff>
      <xdr:row>4</xdr:row>
      <xdr:rowOff>133350</xdr:rowOff>
    </xdr:from>
    <xdr:to>
      <xdr:col>3</xdr:col>
      <xdr:colOff>9524</xdr:colOff>
      <xdr:row>4</xdr:row>
      <xdr:rowOff>133350</xdr:rowOff>
    </xdr:to>
    <xdr:cxnSp macro="">
      <xdr:nvCxnSpPr>
        <xdr:cNvPr id="42" name="Прямая со стрелкой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CxnSpPr/>
      </xdr:nvCxnSpPr>
      <xdr:spPr>
        <a:xfrm flipH="1">
          <a:off x="333375" y="1162050"/>
          <a:ext cx="59054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</xdr:row>
      <xdr:rowOff>0</xdr:rowOff>
    </xdr:from>
    <xdr:to>
      <xdr:col>3</xdr:col>
      <xdr:colOff>0</xdr:colOff>
      <xdr:row>4</xdr:row>
      <xdr:rowOff>133350</xdr:rowOff>
    </xdr:to>
    <xdr:cxnSp macro="">
      <xdr:nvCxnSpPr>
        <xdr:cNvPr id="43" name="Прямая со стрелкой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CxnSpPr/>
      </xdr:nvCxnSpPr>
      <xdr:spPr>
        <a:xfrm>
          <a:off x="914400" y="257175"/>
          <a:ext cx="0" cy="904875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0</xdr:row>
      <xdr:rowOff>238125</xdr:rowOff>
    </xdr:from>
    <xdr:to>
      <xdr:col>11</xdr:col>
      <xdr:colOff>0</xdr:colOff>
      <xdr:row>4</xdr:row>
      <xdr:rowOff>123825</xdr:rowOff>
    </xdr:to>
    <xdr:cxnSp macro="">
      <xdr:nvCxnSpPr>
        <xdr:cNvPr id="44" name="Прямая со стрелкой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CxnSpPr/>
      </xdr:nvCxnSpPr>
      <xdr:spPr>
        <a:xfrm>
          <a:off x="3352800" y="238125"/>
          <a:ext cx="0" cy="91440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0</xdr:row>
      <xdr:rowOff>238125</xdr:rowOff>
    </xdr:from>
    <xdr:to>
      <xdr:col>13</xdr:col>
      <xdr:colOff>19050</xdr:colOff>
      <xdr:row>1</xdr:row>
      <xdr:rowOff>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CxnSpPr/>
      </xdr:nvCxnSpPr>
      <xdr:spPr>
        <a:xfrm flipH="1">
          <a:off x="3362325" y="238125"/>
          <a:ext cx="61912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3</xdr:row>
      <xdr:rowOff>0</xdr:rowOff>
    </xdr:from>
    <xdr:to>
      <xdr:col>25</xdr:col>
      <xdr:colOff>19050</xdr:colOff>
      <xdr:row>6</xdr:row>
      <xdr:rowOff>0</xdr:rowOff>
    </xdr:to>
    <xdr:sp macro="" textlink="">
      <xdr:nvSpPr>
        <xdr:cNvPr id="46" name="Прямоугольник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6096000" y="771525"/>
          <a:ext cx="1543050" cy="7715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0</xdr:colOff>
      <xdr:row>0</xdr:row>
      <xdr:rowOff>228600</xdr:rowOff>
    </xdr:from>
    <xdr:to>
      <xdr:col>21</xdr:col>
      <xdr:colOff>9525</xdr:colOff>
      <xdr:row>3</xdr:row>
      <xdr:rowOff>0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CxnSpPr/>
      </xdr:nvCxnSpPr>
      <xdr:spPr>
        <a:xfrm flipH="1" flipV="1">
          <a:off x="6400800" y="228600"/>
          <a:ext cx="9525" cy="5429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0</xdr:row>
      <xdr:rowOff>123825</xdr:rowOff>
    </xdr:from>
    <xdr:to>
      <xdr:col>24</xdr:col>
      <xdr:colOff>9525</xdr:colOff>
      <xdr:row>3</xdr:row>
      <xdr:rowOff>9525</xdr:rowOff>
    </xdr:to>
    <xdr:cxnSp macro="">
      <xdr:nvCxnSpPr>
        <xdr:cNvPr id="48" name="Прямая со стрелкой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CxnSpPr/>
      </xdr:nvCxnSpPr>
      <xdr:spPr>
        <a:xfrm flipH="1" flipV="1">
          <a:off x="7315200" y="123825"/>
          <a:ext cx="9525" cy="6572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6</xdr:row>
      <xdr:rowOff>0</xdr:rowOff>
    </xdr:from>
    <xdr:to>
      <xdr:col>24</xdr:col>
      <xdr:colOff>9525</xdr:colOff>
      <xdr:row>8</xdr:row>
      <xdr:rowOff>19050</xdr:rowOff>
    </xdr:to>
    <xdr:cxnSp macro="">
      <xdr:nvCxnSpPr>
        <xdr:cNvPr id="49" name="Прямая со стрелкой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CxnSpPr/>
      </xdr:nvCxnSpPr>
      <xdr:spPr>
        <a:xfrm flipH="1" flipV="1">
          <a:off x="7315200" y="1543050"/>
          <a:ext cx="9525" cy="5334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6</xdr:row>
      <xdr:rowOff>9525</xdr:rowOff>
    </xdr:from>
    <xdr:to>
      <xdr:col>21</xdr:col>
      <xdr:colOff>0</xdr:colOff>
      <xdr:row>9</xdr:row>
      <xdr:rowOff>9525</xdr:rowOff>
    </xdr:to>
    <xdr:cxnSp macro="">
      <xdr:nvCxnSpPr>
        <xdr:cNvPr id="50" name="Прямая со стрелкой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 flipV="1">
          <a:off x="6400800" y="1552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19051</xdr:colOff>
      <xdr:row>4</xdr:row>
      <xdr:rowOff>123825</xdr:rowOff>
    </xdr:from>
    <xdr:to>
      <xdr:col>27</xdr:col>
      <xdr:colOff>0</xdr:colOff>
      <xdr:row>4</xdr:row>
      <xdr:rowOff>123825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/>
      </xdr:nvCxnSpPr>
      <xdr:spPr>
        <a:xfrm flipH="1">
          <a:off x="7639051" y="1152525"/>
          <a:ext cx="59054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28575</xdr:colOff>
      <xdr:row>4</xdr:row>
      <xdr:rowOff>133350</xdr:rowOff>
    </xdr:from>
    <xdr:to>
      <xdr:col>19</xdr:col>
      <xdr:colOff>9524</xdr:colOff>
      <xdr:row>4</xdr:row>
      <xdr:rowOff>133350</xdr:rowOff>
    </xdr:to>
    <xdr:cxnSp macro="">
      <xdr:nvCxnSpPr>
        <xdr:cNvPr id="52" name="Прямая со стрелкой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/>
      </xdr:nvCxnSpPr>
      <xdr:spPr>
        <a:xfrm flipH="1">
          <a:off x="5210175" y="1162050"/>
          <a:ext cx="59054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0</xdr:colOff>
      <xdr:row>4</xdr:row>
      <xdr:rowOff>133350</xdr:rowOff>
    </xdr:to>
    <xdr:cxnSp macro="">
      <xdr:nvCxnSpPr>
        <xdr:cNvPr id="53" name="Прямая со стрелкой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>
          <a:off x="5791200" y="257175"/>
          <a:ext cx="0" cy="904875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304800</xdr:colOff>
      <xdr:row>1</xdr:row>
      <xdr:rowOff>9525</xdr:rowOff>
    </xdr:from>
    <xdr:to>
      <xdr:col>21</xdr:col>
      <xdr:colOff>0</xdr:colOff>
      <xdr:row>1</xdr:row>
      <xdr:rowOff>19050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 flipH="1">
          <a:off x="5791200" y="266700"/>
          <a:ext cx="6096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6569</xdr:colOff>
      <xdr:row>16</xdr:row>
      <xdr:rowOff>137949</xdr:rowOff>
    </xdr:from>
    <xdr:to>
      <xdr:col>37</xdr:col>
      <xdr:colOff>0</xdr:colOff>
      <xdr:row>16</xdr:row>
      <xdr:rowOff>137949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CxnSpPr/>
      </xdr:nvCxnSpPr>
      <xdr:spPr>
        <a:xfrm>
          <a:off x="10064969" y="4005099"/>
          <a:ext cx="1212631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13138</xdr:colOff>
      <xdr:row>15</xdr:row>
      <xdr:rowOff>124810</xdr:rowOff>
    </xdr:from>
    <xdr:to>
      <xdr:col>37</xdr:col>
      <xdr:colOff>6569</xdr:colOff>
      <xdr:row>15</xdr:row>
      <xdr:rowOff>124810</xdr:rowOff>
    </xdr:to>
    <xdr:cxnSp macro="">
      <xdr:nvCxnSpPr>
        <xdr:cNvPr id="56" name="Прямая со стрелкой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>
          <a:off x="10071538" y="3734785"/>
          <a:ext cx="1212631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13138</xdr:colOff>
      <xdr:row>11</xdr:row>
      <xdr:rowOff>118242</xdr:rowOff>
    </xdr:from>
    <xdr:to>
      <xdr:col>37</xdr:col>
      <xdr:colOff>6569</xdr:colOff>
      <xdr:row>11</xdr:row>
      <xdr:rowOff>118242</xdr:rowOff>
    </xdr:to>
    <xdr:cxnSp macro="">
      <xdr:nvCxnSpPr>
        <xdr:cNvPr id="57" name="Прямая со стрелкой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>
          <a:off x="10071538" y="2947167"/>
          <a:ext cx="1212631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&#1048;&#1086;&#1085;&#1082;&#1080;&#1085;%20&#1080;&#1063;&#1077;&#1073;&#1072;&#1082;&#1086;&#107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Без предыдущего переноса"/>
      <sheetName val="Многоразрядный сумматор"/>
    </sheetNames>
    <sheetDataSet>
      <sheetData sheetId="0"/>
      <sheetData sheetId="1">
        <row r="12">
          <cell r="B12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H3:W12"/>
  <sheetViews>
    <sheetView workbookViewId="0">
      <selection activeCell="Q15" sqref="Q15"/>
    </sheetView>
  </sheetViews>
  <sheetFormatPr defaultColWidth="3.73046875" defaultRowHeight="19.5" customHeight="1" x14ac:dyDescent="0.45"/>
  <sheetData>
    <row r="3" spans="8:23" ht="19.5" customHeight="1" x14ac:dyDescent="0.45">
      <c r="H3" t="s">
        <v>2</v>
      </c>
      <c r="K3" t="s">
        <v>3</v>
      </c>
    </row>
    <row r="4" spans="8:23" ht="19.5" customHeight="1" thickBot="1" x14ac:dyDescent="0.5"/>
    <row r="5" spans="8:23" ht="19.5" customHeight="1" x14ac:dyDescent="0.45">
      <c r="V5" t="s">
        <v>3</v>
      </c>
      <c r="W5" s="1">
        <f>MOD(W9 + W10,2)</f>
        <v>0</v>
      </c>
    </row>
    <row r="6" spans="8:23" ht="19.5" customHeight="1" thickBot="1" x14ac:dyDescent="0.5">
      <c r="V6" t="s">
        <v>2</v>
      </c>
      <c r="W6" s="2">
        <f>W9*W10</f>
        <v>8</v>
      </c>
    </row>
    <row r="8" spans="8:23" ht="19.5" customHeight="1" thickBot="1" x14ac:dyDescent="0.5"/>
    <row r="9" spans="8:23" ht="19.5" customHeight="1" x14ac:dyDescent="0.45">
      <c r="H9" t="s">
        <v>1</v>
      </c>
      <c r="K9" t="s">
        <v>0</v>
      </c>
      <c r="V9" t="s">
        <v>1</v>
      </c>
      <c r="W9" s="1">
        <v>4</v>
      </c>
    </row>
    <row r="10" spans="8:23" ht="19.5" customHeight="1" thickBot="1" x14ac:dyDescent="0.5">
      <c r="V10" t="s">
        <v>0</v>
      </c>
      <c r="W10" s="2">
        <v>2</v>
      </c>
    </row>
    <row r="12" spans="8:23" ht="19.5" customHeight="1" x14ac:dyDescent="0.45">
      <c r="H12" t="s">
        <v>16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H3:W12"/>
  <sheetViews>
    <sheetView zoomScaleNormal="100" workbookViewId="0">
      <selection activeCell="Z11" sqref="Z11"/>
    </sheetView>
  </sheetViews>
  <sheetFormatPr defaultColWidth="3.73046875" defaultRowHeight="19.5" customHeight="1" x14ac:dyDescent="0.45"/>
  <cols>
    <col min="14" max="14" width="4.1328125" customWidth="1"/>
  </cols>
  <sheetData>
    <row r="3" spans="8:23" ht="19.5" customHeight="1" x14ac:dyDescent="0.45">
      <c r="H3" t="s">
        <v>2</v>
      </c>
      <c r="K3" t="s">
        <v>3</v>
      </c>
    </row>
    <row r="4" spans="8:23" ht="19.5" customHeight="1" thickBot="1" x14ac:dyDescent="0.5"/>
    <row r="5" spans="8:23" ht="19.5" customHeight="1" x14ac:dyDescent="0.45">
      <c r="N5" t="s">
        <v>4</v>
      </c>
      <c r="V5" t="s">
        <v>3</v>
      </c>
      <c r="W5" s="1">
        <f>MOD(W9+W10+W12,2)</f>
        <v>1</v>
      </c>
    </row>
    <row r="6" spans="8:23" ht="19.5" customHeight="1" thickBot="1" x14ac:dyDescent="0.5">
      <c r="V6" t="s">
        <v>2</v>
      </c>
      <c r="W6" s="2">
        <f>IF(W9+W10+W12&gt;1,1,0)</f>
        <v>1</v>
      </c>
    </row>
    <row r="8" spans="8:23" ht="19.5" customHeight="1" thickBot="1" x14ac:dyDescent="0.5"/>
    <row r="9" spans="8:23" ht="19.5" customHeight="1" x14ac:dyDescent="0.45">
      <c r="H9" t="s">
        <v>1</v>
      </c>
      <c r="K9" t="s">
        <v>0</v>
      </c>
      <c r="V9" t="s">
        <v>1</v>
      </c>
      <c r="W9" s="1">
        <v>2</v>
      </c>
    </row>
    <row r="10" spans="8:23" ht="19.5" customHeight="1" thickBot="1" x14ac:dyDescent="0.5">
      <c r="V10" t="s">
        <v>0</v>
      </c>
      <c r="W10" s="2">
        <v>6</v>
      </c>
    </row>
    <row r="11" spans="8:23" ht="19.5" customHeight="1" thickBot="1" x14ac:dyDescent="0.5">
      <c r="V11" t="s">
        <v>4</v>
      </c>
    </row>
    <row r="12" spans="8:23" ht="19.5" customHeight="1" thickBot="1" x14ac:dyDescent="0.5">
      <c r="H12" t="s">
        <v>17</v>
      </c>
      <c r="W12" s="3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L20"/>
  <sheetViews>
    <sheetView zoomScaleNormal="100" workbookViewId="0">
      <selection activeCell="D10" sqref="D10"/>
    </sheetView>
  </sheetViews>
  <sheetFormatPr defaultColWidth="4.59765625" defaultRowHeight="20.25" customHeight="1" x14ac:dyDescent="0.45"/>
  <cols>
    <col min="1" max="1" width="4.59765625" customWidth="1"/>
    <col min="38" max="38" width="12.86328125" style="7" customWidth="1"/>
  </cols>
  <sheetData>
    <row r="1" spans="1:38" ht="20.25" customHeight="1" x14ac:dyDescent="0.45">
      <c r="D1" t="s">
        <v>5</v>
      </c>
      <c r="I1" s="4" t="s">
        <v>6</v>
      </c>
      <c r="M1" t="s">
        <v>2</v>
      </c>
      <c r="Q1" s="4" t="s">
        <v>3</v>
      </c>
      <c r="T1" t="s">
        <v>4</v>
      </c>
      <c r="Y1" s="4" t="s">
        <v>7</v>
      </c>
    </row>
    <row r="3" spans="1:38" ht="20.25" customHeight="1" x14ac:dyDescent="0.45">
      <c r="B3" t="s">
        <v>5</v>
      </c>
      <c r="K3" t="s">
        <v>2</v>
      </c>
      <c r="S3" t="s">
        <v>4</v>
      </c>
      <c r="AA3" t="s">
        <v>8</v>
      </c>
    </row>
    <row r="5" spans="1:38" ht="20.25" customHeight="1" x14ac:dyDescent="0.45">
      <c r="W5" t="b">
        <f>'[1]Многоразрядный сумматор'!B12=MOD(W9+W10+W12,2)</f>
        <v>0</v>
      </c>
    </row>
    <row r="8" spans="1:38" ht="20.25" customHeight="1" x14ac:dyDescent="0.5">
      <c r="F8" s="5" t="s">
        <v>9</v>
      </c>
      <c r="G8" s="5"/>
      <c r="I8" s="5" t="s">
        <v>10</v>
      </c>
      <c r="N8" s="5" t="s">
        <v>1</v>
      </c>
      <c r="O8" s="5"/>
      <c r="Q8" s="5" t="s">
        <v>0</v>
      </c>
      <c r="V8" s="5" t="s">
        <v>11</v>
      </c>
      <c r="W8" s="5"/>
      <c r="Y8" s="5" t="s">
        <v>12</v>
      </c>
    </row>
    <row r="10" spans="1:38" ht="20.25" customHeight="1" x14ac:dyDescent="0.45">
      <c r="AL10" s="7" t="s">
        <v>13</v>
      </c>
    </row>
    <row r="11" spans="1:38" ht="20.25" customHeight="1" thickBot="1" x14ac:dyDescent="0.5">
      <c r="B11" s="11">
        <f>B13</f>
        <v>0</v>
      </c>
      <c r="AL11" s="6">
        <f>AL16+AL17</f>
        <v>16769024</v>
      </c>
    </row>
    <row r="12" spans="1:38" ht="20.25" customHeight="1" x14ac:dyDescent="0.45">
      <c r="A12" t="s">
        <v>3</v>
      </c>
      <c r="B12" s="1">
        <v>0</v>
      </c>
      <c r="C12" s="1">
        <f t="shared" ref="C12:AG12" si="0">MOD(C16+C17+C19,2)</f>
        <v>0</v>
      </c>
      <c r="D12" s="1">
        <f t="shared" si="0"/>
        <v>0</v>
      </c>
      <c r="E12" s="1">
        <f t="shared" si="0"/>
        <v>0</v>
      </c>
      <c r="F12" s="1">
        <f t="shared" si="0"/>
        <v>0</v>
      </c>
      <c r="G12" s="1">
        <f t="shared" si="0"/>
        <v>0</v>
      </c>
      <c r="H12" s="1">
        <f t="shared" si="0"/>
        <v>0</v>
      </c>
      <c r="I12" s="1">
        <f t="shared" si="0"/>
        <v>0</v>
      </c>
      <c r="J12" s="1">
        <f t="shared" si="0"/>
        <v>1</v>
      </c>
      <c r="K12" s="1">
        <f t="shared" si="0"/>
        <v>1</v>
      </c>
      <c r="L12" s="1">
        <f t="shared" si="0"/>
        <v>1</v>
      </c>
      <c r="M12" s="1">
        <f t="shared" si="0"/>
        <v>1</v>
      </c>
      <c r="N12" s="1">
        <f t="shared" si="0"/>
        <v>1</v>
      </c>
      <c r="O12" s="1">
        <f t="shared" si="0"/>
        <v>1</v>
      </c>
      <c r="P12" s="1">
        <f t="shared" si="0"/>
        <v>1</v>
      </c>
      <c r="Q12" s="1">
        <f t="shared" si="0"/>
        <v>1</v>
      </c>
      <c r="R12" s="1">
        <f t="shared" si="0"/>
        <v>1</v>
      </c>
      <c r="S12" s="1">
        <f t="shared" si="0"/>
        <v>1</v>
      </c>
      <c r="T12" s="1">
        <f t="shared" si="0"/>
        <v>1</v>
      </c>
      <c r="U12" s="1">
        <f t="shared" si="0"/>
        <v>0</v>
      </c>
      <c r="V12" s="1">
        <f t="shared" si="0"/>
        <v>0</v>
      </c>
      <c r="W12" s="1">
        <f t="shared" si="0"/>
        <v>0</v>
      </c>
      <c r="X12" s="1">
        <f t="shared" si="0"/>
        <v>0</v>
      </c>
      <c r="Y12" s="1">
        <f t="shared" si="0"/>
        <v>0</v>
      </c>
      <c r="Z12" s="1">
        <f t="shared" si="0"/>
        <v>0</v>
      </c>
      <c r="AA12" s="1">
        <f t="shared" si="0"/>
        <v>0</v>
      </c>
      <c r="AB12" s="1">
        <f t="shared" si="0"/>
        <v>0</v>
      </c>
      <c r="AC12" s="1">
        <f t="shared" si="0"/>
        <v>0</v>
      </c>
      <c r="AD12" s="1">
        <f t="shared" si="0"/>
        <v>0</v>
      </c>
      <c r="AE12" s="1">
        <f t="shared" si="0"/>
        <v>0</v>
      </c>
      <c r="AF12" s="1">
        <f t="shared" si="0"/>
        <v>0</v>
      </c>
      <c r="AG12" s="1">
        <f t="shared" si="0"/>
        <v>0</v>
      </c>
      <c r="AL12" s="7">
        <f>SUMPRODUCT($B$20:$AG$20,B12:AG12)</f>
        <v>16769024</v>
      </c>
    </row>
    <row r="13" spans="1:38" ht="0.75" customHeight="1" thickBot="1" x14ac:dyDescent="0.5">
      <c r="A13" t="s">
        <v>2</v>
      </c>
      <c r="B13" s="2">
        <f>IF(B16+B17+B19&gt;1,1,0)</f>
        <v>0</v>
      </c>
      <c r="C13" s="2">
        <f t="shared" ref="C13:AG13" si="1">IF(C16+C17+C19&gt;1,1,0)</f>
        <v>0</v>
      </c>
      <c r="D13" s="2">
        <f t="shared" si="1"/>
        <v>0</v>
      </c>
      <c r="E13" s="2">
        <f t="shared" si="1"/>
        <v>0</v>
      </c>
      <c r="F13" s="2">
        <f t="shared" si="1"/>
        <v>0</v>
      </c>
      <c r="G13" s="2">
        <f t="shared" si="1"/>
        <v>0</v>
      </c>
      <c r="H13" s="2">
        <f t="shared" si="1"/>
        <v>0</v>
      </c>
      <c r="I13" s="2">
        <f t="shared" si="1"/>
        <v>0</v>
      </c>
      <c r="J13" s="2">
        <f t="shared" si="1"/>
        <v>0</v>
      </c>
      <c r="K13" s="2">
        <f t="shared" si="1"/>
        <v>0</v>
      </c>
      <c r="L13" s="2">
        <f t="shared" si="1"/>
        <v>0</v>
      </c>
      <c r="M13" s="2">
        <f t="shared" si="1"/>
        <v>0</v>
      </c>
      <c r="N13" s="2">
        <f t="shared" si="1"/>
        <v>0</v>
      </c>
      <c r="O13" s="2">
        <f t="shared" si="1"/>
        <v>0</v>
      </c>
      <c r="P13" s="2">
        <f t="shared" si="1"/>
        <v>0</v>
      </c>
      <c r="Q13" s="2">
        <f t="shared" si="1"/>
        <v>0</v>
      </c>
      <c r="R13" s="2">
        <f t="shared" si="1"/>
        <v>0</v>
      </c>
      <c r="S13" s="2">
        <f t="shared" si="1"/>
        <v>0</v>
      </c>
      <c r="T13" s="2">
        <f t="shared" si="1"/>
        <v>0</v>
      </c>
      <c r="U13" s="2">
        <f t="shared" si="1"/>
        <v>0</v>
      </c>
      <c r="V13" s="2">
        <f t="shared" si="1"/>
        <v>0</v>
      </c>
      <c r="W13" s="2">
        <f t="shared" si="1"/>
        <v>0</v>
      </c>
      <c r="X13" s="2">
        <f t="shared" si="1"/>
        <v>0</v>
      </c>
      <c r="Y13" s="2">
        <f t="shared" si="1"/>
        <v>0</v>
      </c>
      <c r="Z13" s="2">
        <f t="shared" si="1"/>
        <v>0</v>
      </c>
      <c r="AA13" s="2">
        <f t="shared" si="1"/>
        <v>0</v>
      </c>
      <c r="AB13" s="2">
        <f t="shared" si="1"/>
        <v>0</v>
      </c>
      <c r="AC13" s="2">
        <f t="shared" si="1"/>
        <v>0</v>
      </c>
      <c r="AD13" s="2">
        <f t="shared" si="1"/>
        <v>0</v>
      </c>
      <c r="AE13" s="2">
        <f t="shared" si="1"/>
        <v>0</v>
      </c>
      <c r="AF13" s="2">
        <f t="shared" si="1"/>
        <v>0</v>
      </c>
      <c r="AG13" s="2">
        <f t="shared" si="1"/>
        <v>0</v>
      </c>
    </row>
    <row r="15" spans="1:38" ht="20.25" customHeight="1" thickBot="1" x14ac:dyDescent="0.5"/>
    <row r="16" spans="1:38" ht="20.25" customHeight="1" x14ac:dyDescent="0.45">
      <c r="A16" t="s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1</v>
      </c>
      <c r="K16" s="1">
        <v>1</v>
      </c>
      <c r="L16" s="1">
        <v>1</v>
      </c>
      <c r="M16" s="1">
        <v>1</v>
      </c>
      <c r="N16" s="1">
        <v>1</v>
      </c>
      <c r="O16" s="1">
        <v>1</v>
      </c>
      <c r="P16" s="1">
        <v>1</v>
      </c>
      <c r="Q16" s="1">
        <v>1</v>
      </c>
      <c r="R16" s="1">
        <v>1</v>
      </c>
      <c r="S16" s="1">
        <v>1</v>
      </c>
      <c r="T16" s="1">
        <v>1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L16" s="7">
        <f>SUMPRODUCT($B$20:$AG$20,B16:AG16)</f>
        <v>16769024</v>
      </c>
    </row>
    <row r="17" spans="1:38" ht="20.25" customHeight="1" thickBot="1" x14ac:dyDescent="0.5">
      <c r="A17" t="s">
        <v>0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L17" s="7">
        <f>SUMPRODUCT($B$20:$AG$20,B17:AG17)</f>
        <v>0</v>
      </c>
    </row>
    <row r="18" spans="1:38" ht="20.25" hidden="1" customHeight="1" thickBot="1" x14ac:dyDescent="0.5">
      <c r="A18" t="s">
        <v>4</v>
      </c>
    </row>
    <row r="19" spans="1:38" ht="20.25" hidden="1" customHeight="1" thickBot="1" x14ac:dyDescent="0.5">
      <c r="B19" s="3">
        <f>C13</f>
        <v>0</v>
      </c>
      <c r="C19" s="3">
        <f t="shared" ref="C19:AG19" si="2">D13</f>
        <v>0</v>
      </c>
      <c r="D19" s="3">
        <f t="shared" si="2"/>
        <v>0</v>
      </c>
      <c r="E19" s="3">
        <f t="shared" si="2"/>
        <v>0</v>
      </c>
      <c r="F19" s="3">
        <f t="shared" si="2"/>
        <v>0</v>
      </c>
      <c r="G19" s="3">
        <f t="shared" si="2"/>
        <v>0</v>
      </c>
      <c r="H19" s="3">
        <f t="shared" si="2"/>
        <v>0</v>
      </c>
      <c r="I19" s="3">
        <f t="shared" si="2"/>
        <v>0</v>
      </c>
      <c r="J19" s="3">
        <f t="shared" si="2"/>
        <v>0</v>
      </c>
      <c r="K19" s="3">
        <f t="shared" si="2"/>
        <v>0</v>
      </c>
      <c r="L19" s="3">
        <f t="shared" si="2"/>
        <v>0</v>
      </c>
      <c r="M19" s="3">
        <f t="shared" si="2"/>
        <v>0</v>
      </c>
      <c r="N19" s="3">
        <f t="shared" si="2"/>
        <v>0</v>
      </c>
      <c r="O19" s="3">
        <f t="shared" si="2"/>
        <v>0</v>
      </c>
      <c r="P19" s="3">
        <f t="shared" si="2"/>
        <v>0</v>
      </c>
      <c r="Q19" s="3">
        <f t="shared" si="2"/>
        <v>0</v>
      </c>
      <c r="R19" s="3">
        <f t="shared" si="2"/>
        <v>0</v>
      </c>
      <c r="S19" s="3">
        <f t="shared" si="2"/>
        <v>0</v>
      </c>
      <c r="T19" s="3">
        <f t="shared" si="2"/>
        <v>0</v>
      </c>
      <c r="U19" s="3">
        <f t="shared" si="2"/>
        <v>0</v>
      </c>
      <c r="V19" s="3">
        <f t="shared" si="2"/>
        <v>0</v>
      </c>
      <c r="W19" s="3">
        <f t="shared" si="2"/>
        <v>0</v>
      </c>
      <c r="X19" s="3">
        <f t="shared" si="2"/>
        <v>0</v>
      </c>
      <c r="Y19" s="3">
        <f t="shared" si="2"/>
        <v>0</v>
      </c>
      <c r="Z19" s="3">
        <f t="shared" si="2"/>
        <v>0</v>
      </c>
      <c r="AA19" s="3">
        <f t="shared" si="2"/>
        <v>0</v>
      </c>
      <c r="AB19" s="3">
        <f t="shared" si="2"/>
        <v>0</v>
      </c>
      <c r="AC19" s="3">
        <f t="shared" si="2"/>
        <v>0</v>
      </c>
      <c r="AD19" s="3">
        <f t="shared" si="2"/>
        <v>0</v>
      </c>
      <c r="AE19" s="3">
        <f t="shared" si="2"/>
        <v>0</v>
      </c>
      <c r="AF19" s="3">
        <f t="shared" si="2"/>
        <v>0</v>
      </c>
      <c r="AG19" s="3">
        <f t="shared" si="2"/>
        <v>0</v>
      </c>
    </row>
    <row r="20" spans="1:38" ht="20.25" hidden="1" customHeight="1" x14ac:dyDescent="0.45">
      <c r="B20">
        <f t="shared" ref="B20:AE20" si="3">2*C20</f>
        <v>2147483648</v>
      </c>
      <c r="C20">
        <f t="shared" si="3"/>
        <v>1073741824</v>
      </c>
      <c r="D20">
        <f t="shared" si="3"/>
        <v>536870912</v>
      </c>
      <c r="E20">
        <f t="shared" si="3"/>
        <v>268435456</v>
      </c>
      <c r="F20">
        <f t="shared" si="3"/>
        <v>134217728</v>
      </c>
      <c r="G20">
        <f t="shared" si="3"/>
        <v>67108864</v>
      </c>
      <c r="H20">
        <f t="shared" si="3"/>
        <v>33554432</v>
      </c>
      <c r="I20">
        <f t="shared" si="3"/>
        <v>16777216</v>
      </c>
      <c r="J20">
        <f t="shared" si="3"/>
        <v>8388608</v>
      </c>
      <c r="K20">
        <f t="shared" si="3"/>
        <v>4194304</v>
      </c>
      <c r="L20">
        <f t="shared" si="3"/>
        <v>2097152</v>
      </c>
      <c r="M20">
        <f t="shared" si="3"/>
        <v>1048576</v>
      </c>
      <c r="N20">
        <f t="shared" si="3"/>
        <v>524288</v>
      </c>
      <c r="O20">
        <f t="shared" si="3"/>
        <v>262144</v>
      </c>
      <c r="P20">
        <f t="shared" si="3"/>
        <v>131072</v>
      </c>
      <c r="Q20">
        <f t="shared" si="3"/>
        <v>65536</v>
      </c>
      <c r="R20">
        <f t="shared" si="3"/>
        <v>32768</v>
      </c>
      <c r="S20">
        <f t="shared" si="3"/>
        <v>16384</v>
      </c>
      <c r="T20">
        <f t="shared" si="3"/>
        <v>8192</v>
      </c>
      <c r="U20">
        <f t="shared" si="3"/>
        <v>4096</v>
      </c>
      <c r="V20">
        <f t="shared" si="3"/>
        <v>2048</v>
      </c>
      <c r="W20">
        <f t="shared" si="3"/>
        <v>1024</v>
      </c>
      <c r="X20">
        <f t="shared" si="3"/>
        <v>512</v>
      </c>
      <c r="Y20">
        <f t="shared" si="3"/>
        <v>256</v>
      </c>
      <c r="Z20">
        <f t="shared" si="3"/>
        <v>128</v>
      </c>
      <c r="AA20">
        <f t="shared" si="3"/>
        <v>64</v>
      </c>
      <c r="AB20">
        <f t="shared" si="3"/>
        <v>32</v>
      </c>
      <c r="AC20">
        <f t="shared" si="3"/>
        <v>16</v>
      </c>
      <c r="AD20">
        <f t="shared" si="3"/>
        <v>8</v>
      </c>
      <c r="AE20">
        <f t="shared" si="3"/>
        <v>4</v>
      </c>
      <c r="AF20">
        <f>2*AG20</f>
        <v>2</v>
      </c>
      <c r="AG20">
        <v>1</v>
      </c>
    </row>
  </sheetData>
  <conditionalFormatting sqref="B11">
    <cfRule type="cellIs" dxfId="1" priority="1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L20"/>
  <sheetViews>
    <sheetView tabSelected="1" workbookViewId="0">
      <selection activeCell="E17" sqref="E17"/>
    </sheetView>
  </sheetViews>
  <sheetFormatPr defaultColWidth="4.59765625" defaultRowHeight="20.25" customHeight="1" x14ac:dyDescent="0.45"/>
  <cols>
    <col min="1" max="1" width="4.59765625" customWidth="1"/>
    <col min="38" max="38" width="21" style="7" customWidth="1"/>
  </cols>
  <sheetData>
    <row r="1" spans="1:38" ht="20.25" customHeight="1" x14ac:dyDescent="0.45">
      <c r="D1" t="s">
        <v>5</v>
      </c>
      <c r="I1" s="4" t="s">
        <v>6</v>
      </c>
      <c r="M1" t="s">
        <v>2</v>
      </c>
      <c r="Q1" s="4" t="s">
        <v>3</v>
      </c>
      <c r="T1" t="s">
        <v>4</v>
      </c>
      <c r="Y1" s="4" t="s">
        <v>7</v>
      </c>
    </row>
    <row r="3" spans="1:38" ht="20.25" customHeight="1" x14ac:dyDescent="0.45">
      <c r="B3" t="s">
        <v>5</v>
      </c>
      <c r="K3" t="s">
        <v>2</v>
      </c>
      <c r="S3" t="s">
        <v>4</v>
      </c>
      <c r="AA3" t="s">
        <v>8</v>
      </c>
    </row>
    <row r="5" spans="1:38" ht="20.25" customHeight="1" x14ac:dyDescent="0.45">
      <c r="W5" t="b">
        <f>'[1]Многоразрядный сумматор'!B12=MOD(W9+W10+W12,2)</f>
        <v>0</v>
      </c>
    </row>
    <row r="8" spans="1:38" ht="20.25" customHeight="1" x14ac:dyDescent="0.5">
      <c r="F8" s="5" t="s">
        <v>9</v>
      </c>
      <c r="G8" s="5"/>
      <c r="I8" s="5" t="s">
        <v>10</v>
      </c>
      <c r="N8" s="5" t="s">
        <v>1</v>
      </c>
      <c r="O8" s="5"/>
      <c r="Q8" s="5" t="s">
        <v>0</v>
      </c>
      <c r="V8" s="5" t="s">
        <v>11</v>
      </c>
      <c r="W8" s="5"/>
      <c r="Y8" s="5" t="s">
        <v>12</v>
      </c>
      <c r="AL8" s="12" t="s">
        <v>14</v>
      </c>
    </row>
    <row r="9" spans="1:38" ht="20.25" customHeight="1" x14ac:dyDescent="0.45">
      <c r="AL9" s="12" t="s">
        <v>15</v>
      </c>
    </row>
    <row r="11" spans="1:38" ht="21" customHeight="1" thickBot="1" x14ac:dyDescent="0.5">
      <c r="B11" s="11">
        <f>B13</f>
        <v>1</v>
      </c>
      <c r="AL11" s="8"/>
    </row>
    <row r="12" spans="1:38" ht="20.25" hidden="1" customHeight="1" x14ac:dyDescent="0.45">
      <c r="A12" t="s">
        <v>3</v>
      </c>
      <c r="B12" s="1">
        <f>MOD(B16+B17+B19,2)</f>
        <v>0</v>
      </c>
      <c r="C12" s="1">
        <f t="shared" ref="C12:AG12" si="0">MOD(C16+C17+C19,2)</f>
        <v>0</v>
      </c>
      <c r="D12" s="1">
        <f t="shared" si="0"/>
        <v>0</v>
      </c>
      <c r="E12" s="1">
        <f t="shared" si="0"/>
        <v>0</v>
      </c>
      <c r="F12" s="1">
        <f t="shared" si="0"/>
        <v>0</v>
      </c>
      <c r="G12" s="1">
        <f t="shared" si="0"/>
        <v>0</v>
      </c>
      <c r="H12" s="1">
        <f t="shared" si="0"/>
        <v>0</v>
      </c>
      <c r="I12" s="1">
        <f t="shared" si="0"/>
        <v>0</v>
      </c>
      <c r="J12" s="1">
        <f t="shared" si="0"/>
        <v>0</v>
      </c>
      <c r="K12" s="1">
        <f t="shared" si="0"/>
        <v>0</v>
      </c>
      <c r="L12" s="1">
        <f t="shared" si="0"/>
        <v>1</v>
      </c>
      <c r="M12" s="1">
        <f t="shared" si="0"/>
        <v>0</v>
      </c>
      <c r="N12" s="1">
        <f t="shared" si="0"/>
        <v>0</v>
      </c>
      <c r="O12" s="1">
        <f t="shared" si="0"/>
        <v>1</v>
      </c>
      <c r="P12" s="1">
        <f t="shared" si="0"/>
        <v>0</v>
      </c>
      <c r="Q12" s="1">
        <f t="shared" si="0"/>
        <v>0</v>
      </c>
      <c r="R12" s="1">
        <f t="shared" si="0"/>
        <v>0</v>
      </c>
      <c r="S12" s="1">
        <f t="shared" si="0"/>
        <v>0</v>
      </c>
      <c r="T12" s="1">
        <f t="shared" si="0"/>
        <v>0</v>
      </c>
      <c r="U12" s="1">
        <f t="shared" si="0"/>
        <v>0</v>
      </c>
      <c r="V12" s="1">
        <f t="shared" si="0"/>
        <v>1</v>
      </c>
      <c r="W12" s="1">
        <f t="shared" si="0"/>
        <v>0</v>
      </c>
      <c r="X12" s="1">
        <f t="shared" si="0"/>
        <v>0</v>
      </c>
      <c r="Y12" s="1">
        <f t="shared" si="0"/>
        <v>0</v>
      </c>
      <c r="Z12" s="1">
        <f t="shared" si="0"/>
        <v>0</v>
      </c>
      <c r="AA12" s="1">
        <f t="shared" si="0"/>
        <v>0</v>
      </c>
      <c r="AB12" s="1">
        <f t="shared" si="0"/>
        <v>0</v>
      </c>
      <c r="AC12" s="1">
        <f t="shared" si="0"/>
        <v>1</v>
      </c>
      <c r="AD12" s="1">
        <f t="shared" si="0"/>
        <v>0</v>
      </c>
      <c r="AE12" s="1">
        <f t="shared" si="0"/>
        <v>1</v>
      </c>
      <c r="AF12" s="1">
        <f t="shared" si="0"/>
        <v>1</v>
      </c>
      <c r="AG12" s="1">
        <f t="shared" si="0"/>
        <v>1</v>
      </c>
      <c r="AL12" s="7">
        <f>SUMPRODUCT($B$20:$AG$20,B12:AG12)</f>
        <v>2361367</v>
      </c>
    </row>
    <row r="13" spans="1:38" ht="0.75" hidden="1" customHeight="1" thickBot="1" x14ac:dyDescent="0.5">
      <c r="A13" t="s">
        <v>2</v>
      </c>
      <c r="B13" s="2">
        <f>IF(B16+B17+B19&gt;1,1,0)</f>
        <v>1</v>
      </c>
      <c r="C13" s="2">
        <f t="shared" ref="C13:AG13" si="1">IF(C16+C17+C19&gt;1,1,0)</f>
        <v>1</v>
      </c>
      <c r="D13" s="2">
        <f t="shared" si="1"/>
        <v>1</v>
      </c>
      <c r="E13" s="2">
        <f t="shared" si="1"/>
        <v>0</v>
      </c>
      <c r="F13" s="2">
        <f t="shared" si="1"/>
        <v>0</v>
      </c>
      <c r="G13" s="2">
        <f t="shared" si="1"/>
        <v>0</v>
      </c>
      <c r="H13" s="2">
        <f t="shared" si="1"/>
        <v>0</v>
      </c>
      <c r="I13" s="2">
        <f t="shared" si="1"/>
        <v>0</v>
      </c>
      <c r="J13" s="2">
        <f t="shared" si="1"/>
        <v>0</v>
      </c>
      <c r="K13" s="2">
        <f t="shared" si="1"/>
        <v>0</v>
      </c>
      <c r="L13" s="2">
        <f t="shared" si="1"/>
        <v>0</v>
      </c>
      <c r="M13" s="2">
        <f t="shared" si="1"/>
        <v>0</v>
      </c>
      <c r="N13" s="2">
        <f t="shared" si="1"/>
        <v>0</v>
      </c>
      <c r="O13" s="2">
        <f t="shared" si="1"/>
        <v>0</v>
      </c>
      <c r="P13" s="2">
        <f t="shared" si="1"/>
        <v>0</v>
      </c>
      <c r="Q13" s="2">
        <f t="shared" si="1"/>
        <v>0</v>
      </c>
      <c r="R13" s="2">
        <f t="shared" si="1"/>
        <v>0</v>
      </c>
      <c r="S13" s="2">
        <f t="shared" si="1"/>
        <v>0</v>
      </c>
      <c r="T13" s="2">
        <f t="shared" si="1"/>
        <v>0</v>
      </c>
      <c r="U13" s="2">
        <f t="shared" si="1"/>
        <v>0</v>
      </c>
      <c r="V13" s="2">
        <f t="shared" si="1"/>
        <v>0</v>
      </c>
      <c r="W13" s="2">
        <f t="shared" si="1"/>
        <v>0</v>
      </c>
      <c r="X13" s="2">
        <f t="shared" si="1"/>
        <v>0</v>
      </c>
      <c r="Y13" s="2">
        <f t="shared" si="1"/>
        <v>0</v>
      </c>
      <c r="Z13" s="2">
        <f t="shared" si="1"/>
        <v>0</v>
      </c>
      <c r="AA13" s="2">
        <f t="shared" si="1"/>
        <v>0</v>
      </c>
      <c r="AB13" s="2">
        <f t="shared" si="1"/>
        <v>0</v>
      </c>
      <c r="AC13" s="2">
        <f t="shared" si="1"/>
        <v>0</v>
      </c>
      <c r="AD13" s="2">
        <f t="shared" si="1"/>
        <v>1</v>
      </c>
      <c r="AE13" s="2">
        <f t="shared" si="1"/>
        <v>0</v>
      </c>
      <c r="AF13" s="2">
        <f t="shared" si="1"/>
        <v>0</v>
      </c>
      <c r="AG13" s="2">
        <f t="shared" si="1"/>
        <v>0</v>
      </c>
    </row>
    <row r="14" spans="1:38" ht="20.25" hidden="1" customHeight="1" x14ac:dyDescent="0.45"/>
    <row r="15" spans="1:38" ht="20.25" hidden="1" customHeight="1" thickBot="1" x14ac:dyDescent="0.5"/>
    <row r="16" spans="1:38" ht="20.25" customHeight="1" x14ac:dyDescent="0.45">
      <c r="A16" t="s">
        <v>1</v>
      </c>
      <c r="B16" s="9">
        <v>1</v>
      </c>
      <c r="C16" s="9">
        <v>1</v>
      </c>
      <c r="D16" s="9">
        <v>1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>
        <v>1</v>
      </c>
      <c r="AE16" s="9">
        <v>1</v>
      </c>
      <c r="AF16" s="9">
        <v>1</v>
      </c>
      <c r="AG16" s="9">
        <v>1</v>
      </c>
      <c r="AL16" s="7">
        <f>SUMPRODUCT($B$20:$AG$20,B16:AG16)</f>
        <v>3758096399</v>
      </c>
    </row>
    <row r="17" spans="1:38" ht="20.25" customHeight="1" thickBot="1" x14ac:dyDescent="0.5">
      <c r="A17" t="s">
        <v>0</v>
      </c>
      <c r="B17" s="10">
        <v>0</v>
      </c>
      <c r="C17" s="10">
        <v>0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1</v>
      </c>
      <c r="M17" s="10">
        <v>0</v>
      </c>
      <c r="N17" s="10">
        <v>0</v>
      </c>
      <c r="O17" s="10">
        <v>1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1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>
        <v>1</v>
      </c>
      <c r="AE17" s="10">
        <v>0</v>
      </c>
      <c r="AF17" s="10">
        <v>0</v>
      </c>
      <c r="AG17" s="10">
        <v>0</v>
      </c>
      <c r="AL17" s="7">
        <f>SUMPRODUCT($B$20:$AG$20,B17:AG17)</f>
        <v>539232264</v>
      </c>
    </row>
    <row r="18" spans="1:38" ht="20.25" hidden="1" customHeight="1" x14ac:dyDescent="0.45">
      <c r="A18" t="s">
        <v>4</v>
      </c>
    </row>
    <row r="19" spans="1:38" ht="20.25" hidden="1" customHeight="1" x14ac:dyDescent="0.45">
      <c r="B19" s="3">
        <f>C13</f>
        <v>1</v>
      </c>
      <c r="C19" s="3">
        <f t="shared" ref="C19:AG19" si="2">D13</f>
        <v>1</v>
      </c>
      <c r="D19" s="3">
        <f t="shared" si="2"/>
        <v>0</v>
      </c>
      <c r="E19" s="3">
        <f t="shared" si="2"/>
        <v>0</v>
      </c>
      <c r="F19" s="3">
        <f t="shared" si="2"/>
        <v>0</v>
      </c>
      <c r="G19" s="3">
        <f t="shared" si="2"/>
        <v>0</v>
      </c>
      <c r="H19" s="3">
        <f t="shared" si="2"/>
        <v>0</v>
      </c>
      <c r="I19" s="3">
        <f t="shared" si="2"/>
        <v>0</v>
      </c>
      <c r="J19" s="3">
        <f t="shared" si="2"/>
        <v>0</v>
      </c>
      <c r="K19" s="3">
        <f t="shared" si="2"/>
        <v>0</v>
      </c>
      <c r="L19" s="3">
        <f t="shared" si="2"/>
        <v>0</v>
      </c>
      <c r="M19" s="3">
        <f t="shared" si="2"/>
        <v>0</v>
      </c>
      <c r="N19" s="3">
        <f t="shared" si="2"/>
        <v>0</v>
      </c>
      <c r="O19" s="3">
        <f t="shared" si="2"/>
        <v>0</v>
      </c>
      <c r="P19" s="3">
        <f t="shared" si="2"/>
        <v>0</v>
      </c>
      <c r="Q19" s="3">
        <f t="shared" si="2"/>
        <v>0</v>
      </c>
      <c r="R19" s="3">
        <f t="shared" si="2"/>
        <v>0</v>
      </c>
      <c r="S19" s="3">
        <f t="shared" si="2"/>
        <v>0</v>
      </c>
      <c r="T19" s="3">
        <f t="shared" si="2"/>
        <v>0</v>
      </c>
      <c r="U19" s="3">
        <f t="shared" si="2"/>
        <v>0</v>
      </c>
      <c r="V19" s="3">
        <f t="shared" si="2"/>
        <v>0</v>
      </c>
      <c r="W19" s="3">
        <f t="shared" si="2"/>
        <v>0</v>
      </c>
      <c r="X19" s="3">
        <f t="shared" si="2"/>
        <v>0</v>
      </c>
      <c r="Y19" s="3">
        <f t="shared" si="2"/>
        <v>0</v>
      </c>
      <c r="Z19" s="3">
        <f t="shared" si="2"/>
        <v>0</v>
      </c>
      <c r="AA19" s="3">
        <f t="shared" si="2"/>
        <v>0</v>
      </c>
      <c r="AB19" s="3">
        <f t="shared" si="2"/>
        <v>0</v>
      </c>
      <c r="AC19" s="3">
        <f t="shared" si="2"/>
        <v>1</v>
      </c>
      <c r="AD19" s="3">
        <f t="shared" si="2"/>
        <v>0</v>
      </c>
      <c r="AE19" s="3">
        <f t="shared" si="2"/>
        <v>0</v>
      </c>
      <c r="AF19" s="3">
        <f t="shared" si="2"/>
        <v>0</v>
      </c>
      <c r="AG19" s="3">
        <f t="shared" si="2"/>
        <v>0</v>
      </c>
    </row>
    <row r="20" spans="1:38" ht="20.25" hidden="1" customHeight="1" x14ac:dyDescent="0.45">
      <c r="B20">
        <f t="shared" ref="B20:AE20" si="3">2*C20</f>
        <v>2147483648</v>
      </c>
      <c r="C20">
        <f t="shared" si="3"/>
        <v>1073741824</v>
      </c>
      <c r="D20">
        <f t="shared" si="3"/>
        <v>536870912</v>
      </c>
      <c r="E20">
        <f t="shared" si="3"/>
        <v>268435456</v>
      </c>
      <c r="F20">
        <f t="shared" si="3"/>
        <v>134217728</v>
      </c>
      <c r="G20">
        <f t="shared" si="3"/>
        <v>67108864</v>
      </c>
      <c r="H20">
        <f t="shared" si="3"/>
        <v>33554432</v>
      </c>
      <c r="I20">
        <f t="shared" si="3"/>
        <v>16777216</v>
      </c>
      <c r="J20">
        <f t="shared" si="3"/>
        <v>8388608</v>
      </c>
      <c r="K20">
        <f t="shared" si="3"/>
        <v>4194304</v>
      </c>
      <c r="L20">
        <f t="shared" si="3"/>
        <v>2097152</v>
      </c>
      <c r="M20">
        <f t="shared" si="3"/>
        <v>1048576</v>
      </c>
      <c r="N20">
        <f t="shared" si="3"/>
        <v>524288</v>
      </c>
      <c r="O20">
        <f t="shared" si="3"/>
        <v>262144</v>
      </c>
      <c r="P20">
        <f t="shared" si="3"/>
        <v>131072</v>
      </c>
      <c r="Q20">
        <f t="shared" si="3"/>
        <v>65536</v>
      </c>
      <c r="R20">
        <f t="shared" si="3"/>
        <v>32768</v>
      </c>
      <c r="S20">
        <f t="shared" si="3"/>
        <v>16384</v>
      </c>
      <c r="T20">
        <f t="shared" si="3"/>
        <v>8192</v>
      </c>
      <c r="U20">
        <f t="shared" si="3"/>
        <v>4096</v>
      </c>
      <c r="V20">
        <f t="shared" si="3"/>
        <v>2048</v>
      </c>
      <c r="W20">
        <f t="shared" si="3"/>
        <v>1024</v>
      </c>
      <c r="X20">
        <f t="shared" si="3"/>
        <v>512</v>
      </c>
      <c r="Y20">
        <f t="shared" si="3"/>
        <v>256</v>
      </c>
      <c r="Z20">
        <f t="shared" si="3"/>
        <v>128</v>
      </c>
      <c r="AA20">
        <f t="shared" si="3"/>
        <v>64</v>
      </c>
      <c r="AB20">
        <f t="shared" si="3"/>
        <v>32</v>
      </c>
      <c r="AC20">
        <f t="shared" si="3"/>
        <v>16</v>
      </c>
      <c r="AD20">
        <f t="shared" si="3"/>
        <v>8</v>
      </c>
      <c r="AE20">
        <f t="shared" si="3"/>
        <v>4</v>
      </c>
      <c r="AF20">
        <f>2*AG20</f>
        <v>2</v>
      </c>
      <c r="AG20">
        <v>1</v>
      </c>
    </row>
  </sheetData>
  <conditionalFormatting sqref="B11">
    <cfRule type="cellIs" dxfId="0" priority="1" operator="equal">
      <formula>1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Полусумматор</vt:lpstr>
      <vt:lpstr>Сумматор</vt:lpstr>
      <vt:lpstr>Многоразрядный сумматор</vt:lpstr>
      <vt:lpstr>Накапливающий сумматор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Антон Шмидт</cp:lastModifiedBy>
  <dcterms:created xsi:type="dcterms:W3CDTF">2015-06-05T18:19:34Z</dcterms:created>
  <dcterms:modified xsi:type="dcterms:W3CDTF">2025-04-04T08:07:28Z</dcterms:modified>
</cp:coreProperties>
</file>